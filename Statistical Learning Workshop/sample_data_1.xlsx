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palayangoda/Library/CloudStorage/OneDrive-UniversityofNebraskaatOmaha/Workshops/Data Sets/"/>
    </mc:Choice>
  </mc:AlternateContent>
  <xr:revisionPtr revIDLastSave="0" documentId="13_ncr:1_{B627098D-1E09-2846-B0FB-482BBE19E937}" xr6:coauthVersionLast="47" xr6:coauthVersionMax="47" xr10:uidLastSave="{00000000-0000-0000-0000-000000000000}"/>
  <bookViews>
    <workbookView xWindow="0" yWindow="760" windowWidth="34560" windowHeight="19840" xr2:uid="{3467C584-2149-4D3B-A6C1-E8D179A249BB}"/>
  </bookViews>
  <sheets>
    <sheet name="D2" sheetId="2" r:id="rId1"/>
    <sheet name="D2 Contro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4" i="1"/>
  <c r="F13" i="1"/>
</calcChain>
</file>

<file path=xl/sharedStrings.xml><?xml version="1.0" encoding="utf-8"?>
<sst xmlns="http://schemas.openxmlformats.org/spreadsheetml/2006/main" count="170" uniqueCount="14">
  <si>
    <t>Age</t>
  </si>
  <si>
    <t>Strain</t>
  </si>
  <si>
    <t>Sex</t>
  </si>
  <si>
    <t>D2/J</t>
  </si>
  <si>
    <t>F</t>
  </si>
  <si>
    <t>M</t>
  </si>
  <si>
    <t>D2-C</t>
  </si>
  <si>
    <t>IOP_Left</t>
  </si>
  <si>
    <t>IOP_Right</t>
  </si>
  <si>
    <t>AUC_R</t>
  </si>
  <si>
    <t>AUC_L</t>
  </si>
  <si>
    <t>Endpoints</t>
  </si>
  <si>
    <t>vGlut2_Puncta_Density</t>
  </si>
  <si>
    <t>Microglia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</si>
</sst>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8"/>
      <color theme="1"/>
      <name val="Microsoft YaHei UI"/>
      <family val="2"/>
    </font>
    <font>
      <sz val="11"/>
      <color theme="1"/>
      <name val="Franklin Gothic Book"/>
      <family val="2"/>
    </font>
    <font>
      <sz val="11"/>
      <name val="Franklin Gothic Book"/>
      <family val="2"/>
    </font>
    <font>
      <sz val="12"/>
      <color theme="1"/>
      <name val="Franklin Gothic Book"/>
      <family val="2"/>
    </font>
    <font>
      <sz val="12"/>
      <name val="Franklin Gothic Book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textRotation="255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textRotation="255"/>
    </xf>
    <xf numFmtId="0" fontId="4" fillId="3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2" fontId="5" fillId="3" borderId="6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6" fillId="0" borderId="3" xfId="0" applyFont="1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7" fillId="3" borderId="7" xfId="0" applyNumberFormat="1" applyFont="1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/>
    <xf numFmtId="164" fontId="6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FFBC-31D9-4A22-A713-C950281CED1F}">
  <dimension ref="A1:J40"/>
  <sheetViews>
    <sheetView tabSelected="1" zoomScale="87" zoomScaleNormal="55" workbookViewId="0">
      <selection activeCell="H10" sqref="H10"/>
    </sheetView>
  </sheetViews>
  <sheetFormatPr baseColWidth="10" defaultColWidth="8.83203125" defaultRowHeight="15" x14ac:dyDescent="0.2"/>
  <cols>
    <col min="1" max="1" width="8" bestFit="1" customWidth="1"/>
    <col min="2" max="2" width="11.1640625" bestFit="1" customWidth="1"/>
    <col min="3" max="3" width="7.33203125" bestFit="1" customWidth="1"/>
    <col min="4" max="4" width="23" bestFit="1" customWidth="1"/>
    <col min="5" max="5" width="38.83203125" bestFit="1" customWidth="1"/>
    <col min="6" max="6" width="33.1640625" bestFit="1" customWidth="1"/>
    <col min="7" max="7" width="28.33203125" bestFit="1" customWidth="1"/>
    <col min="8" max="8" width="26.5" style="60" bestFit="1" customWidth="1"/>
    <col min="9" max="9" width="10.5" bestFit="1" customWidth="1"/>
    <col min="10" max="10" width="9.33203125" bestFit="1" customWidth="1"/>
  </cols>
  <sheetData>
    <row r="1" spans="1:10" ht="25" thickBot="1" x14ac:dyDescent="0.25">
      <c r="A1" s="1" t="s">
        <v>0</v>
      </c>
      <c r="B1" s="1" t="s">
        <v>1</v>
      </c>
      <c r="C1" s="2" t="s">
        <v>2</v>
      </c>
      <c r="D1" s="3" t="s">
        <v>13</v>
      </c>
      <c r="E1" s="1" t="s">
        <v>12</v>
      </c>
      <c r="F1" s="1" t="s">
        <v>11</v>
      </c>
      <c r="G1" s="51" t="s">
        <v>8</v>
      </c>
      <c r="H1" s="50" t="s">
        <v>7</v>
      </c>
      <c r="I1" s="51" t="s">
        <v>9</v>
      </c>
      <c r="J1" s="51" t="s">
        <v>10</v>
      </c>
    </row>
    <row r="2" spans="1:10" x14ac:dyDescent="0.2">
      <c r="A2" s="4">
        <v>4</v>
      </c>
      <c r="B2" s="4" t="s">
        <v>3</v>
      </c>
      <c r="C2" s="4" t="s">
        <v>4</v>
      </c>
      <c r="D2" s="5">
        <v>23</v>
      </c>
      <c r="E2" s="6">
        <v>7.87</v>
      </c>
      <c r="F2" s="7">
        <v>138.86956521739131</v>
      </c>
      <c r="G2" s="53">
        <v>13.5</v>
      </c>
      <c r="H2" s="52">
        <v>14.5</v>
      </c>
      <c r="I2" s="46">
        <v>525</v>
      </c>
      <c r="J2" s="47">
        <v>483</v>
      </c>
    </row>
    <row r="3" spans="1:10" x14ac:dyDescent="0.2">
      <c r="A3" s="4">
        <v>4</v>
      </c>
      <c r="B3" s="4" t="s">
        <v>3</v>
      </c>
      <c r="C3" s="4" t="s">
        <v>4</v>
      </c>
      <c r="D3" s="5">
        <v>24</v>
      </c>
      <c r="E3" s="7">
        <v>7.47</v>
      </c>
      <c r="F3" s="7">
        <v>128.75</v>
      </c>
      <c r="G3" s="53">
        <v>13.5</v>
      </c>
      <c r="H3" s="52">
        <v>14.5</v>
      </c>
      <c r="I3" s="46">
        <v>378</v>
      </c>
      <c r="J3" s="47">
        <v>378</v>
      </c>
    </row>
    <row r="4" spans="1:10" x14ac:dyDescent="0.2">
      <c r="A4" s="4">
        <v>4</v>
      </c>
      <c r="B4" s="4" t="s">
        <v>3</v>
      </c>
      <c r="C4" s="4" t="s">
        <v>5</v>
      </c>
      <c r="D4" s="5">
        <v>25</v>
      </c>
      <c r="E4" s="7">
        <v>6.93</v>
      </c>
      <c r="F4" s="7">
        <v>124.96</v>
      </c>
      <c r="G4" s="53">
        <v>13</v>
      </c>
      <c r="H4" s="52">
        <v>11</v>
      </c>
      <c r="I4" s="46">
        <v>399</v>
      </c>
      <c r="J4" s="47">
        <v>441</v>
      </c>
    </row>
    <row r="5" spans="1:10" x14ac:dyDescent="0.2">
      <c r="A5" s="4">
        <v>4</v>
      </c>
      <c r="B5" s="4" t="s">
        <v>3</v>
      </c>
      <c r="C5" s="4" t="s">
        <v>5</v>
      </c>
      <c r="D5" s="5">
        <v>22</v>
      </c>
      <c r="E5" s="7">
        <v>8.8800000000000008</v>
      </c>
      <c r="F5" s="7">
        <v>145.86363636363637</v>
      </c>
      <c r="G5" s="53">
        <v>12.5</v>
      </c>
      <c r="H5" s="52">
        <v>12.5</v>
      </c>
      <c r="I5" s="46">
        <v>399</v>
      </c>
      <c r="J5" s="47">
        <v>441</v>
      </c>
    </row>
    <row r="6" spans="1:10" x14ac:dyDescent="0.2">
      <c r="A6" s="4">
        <v>4</v>
      </c>
      <c r="B6" s="4" t="s">
        <v>3</v>
      </c>
      <c r="C6" s="4" t="s">
        <v>5</v>
      </c>
      <c r="D6" s="5">
        <v>18</v>
      </c>
      <c r="E6" s="7">
        <v>8.1519357195032871</v>
      </c>
      <c r="F6" s="7">
        <v>166.38888888888889</v>
      </c>
      <c r="G6" s="53">
        <v>12.5</v>
      </c>
      <c r="H6" s="52">
        <v>11.5</v>
      </c>
      <c r="I6" s="46">
        <v>420</v>
      </c>
      <c r="J6" s="47">
        <v>420</v>
      </c>
    </row>
    <row r="7" spans="1:10" x14ac:dyDescent="0.2">
      <c r="A7" s="4">
        <v>4</v>
      </c>
      <c r="B7" s="4" t="s">
        <v>3</v>
      </c>
      <c r="C7" s="4" t="s">
        <v>5</v>
      </c>
      <c r="D7" s="5">
        <v>23</v>
      </c>
      <c r="E7" s="7">
        <v>8.3491599707815922</v>
      </c>
      <c r="F7" s="7">
        <v>269.69565217391306</v>
      </c>
      <c r="G7" s="53">
        <v>9</v>
      </c>
      <c r="H7" s="52">
        <v>9</v>
      </c>
      <c r="I7" s="46">
        <v>216</v>
      </c>
      <c r="J7" s="47">
        <v>546</v>
      </c>
    </row>
    <row r="8" spans="1:10" x14ac:dyDescent="0.2">
      <c r="A8" s="4">
        <v>4</v>
      </c>
      <c r="B8" s="4" t="s">
        <v>3</v>
      </c>
      <c r="C8" s="4" t="s">
        <v>5</v>
      </c>
      <c r="D8" s="5">
        <v>23</v>
      </c>
      <c r="E8" s="8">
        <v>7.6698319941563184</v>
      </c>
      <c r="F8" s="8">
        <v>166.04347826086956</v>
      </c>
      <c r="G8" s="53">
        <v>9.5</v>
      </c>
      <c r="H8" s="52">
        <v>10.5</v>
      </c>
      <c r="I8" s="46">
        <v>225</v>
      </c>
      <c r="J8" s="47">
        <v>225</v>
      </c>
    </row>
    <row r="9" spans="1:10" x14ac:dyDescent="0.2">
      <c r="A9" s="4">
        <v>4</v>
      </c>
      <c r="B9" s="4" t="s">
        <v>3</v>
      </c>
      <c r="C9" s="4" t="s">
        <v>5</v>
      </c>
      <c r="D9" s="5">
        <v>32</v>
      </c>
      <c r="E9" s="8">
        <v>7.8816654492330169</v>
      </c>
      <c r="F9" s="8">
        <v>96.75</v>
      </c>
      <c r="G9" s="53">
        <v>9.5</v>
      </c>
      <c r="H9" s="52">
        <v>10.5</v>
      </c>
      <c r="I9" s="46">
        <v>234</v>
      </c>
      <c r="J9" s="47">
        <v>198</v>
      </c>
    </row>
    <row r="10" spans="1:10" x14ac:dyDescent="0.2">
      <c r="A10" s="4">
        <v>4</v>
      </c>
      <c r="B10" s="4" t="s">
        <v>3</v>
      </c>
      <c r="C10" s="4" t="s">
        <v>5</v>
      </c>
      <c r="D10" s="5">
        <v>23</v>
      </c>
      <c r="E10" s="8">
        <v>7.406866325785245</v>
      </c>
      <c r="F10" s="8">
        <v>140.95652173913044</v>
      </c>
      <c r="G10" s="53">
        <v>10</v>
      </c>
      <c r="H10" s="52">
        <v>10</v>
      </c>
      <c r="I10" s="46">
        <v>243</v>
      </c>
      <c r="J10" s="47">
        <v>261</v>
      </c>
    </row>
    <row r="11" spans="1:10" ht="16" thickBot="1" x14ac:dyDescent="0.25">
      <c r="A11" s="9">
        <v>4</v>
      </c>
      <c r="B11" s="9" t="s">
        <v>3</v>
      </c>
      <c r="C11" s="9" t="s">
        <v>5</v>
      </c>
      <c r="D11" s="10">
        <v>23</v>
      </c>
      <c r="E11" s="11">
        <v>8.0861943024105187</v>
      </c>
      <c r="F11" s="11">
        <v>154.60869565217391</v>
      </c>
      <c r="G11" s="55">
        <v>12</v>
      </c>
      <c r="H11" s="54">
        <v>13</v>
      </c>
      <c r="I11" s="56">
        <v>243</v>
      </c>
      <c r="J11" s="49">
        <v>261</v>
      </c>
    </row>
    <row r="12" spans="1:10" x14ac:dyDescent="0.2">
      <c r="A12" s="12">
        <v>9</v>
      </c>
      <c r="B12" s="12" t="s">
        <v>3</v>
      </c>
      <c r="C12" s="12" t="s">
        <v>5</v>
      </c>
      <c r="D12" s="13">
        <v>31</v>
      </c>
      <c r="E12" s="12">
        <v>7.2679999999999998</v>
      </c>
      <c r="F12" s="12">
        <v>92.161290322580641</v>
      </c>
      <c r="G12" s="58">
        <v>11.5</v>
      </c>
      <c r="H12" s="57">
        <v>9.5</v>
      </c>
      <c r="I12" s="44">
        <v>3009</v>
      </c>
      <c r="J12" s="44">
        <v>2680</v>
      </c>
    </row>
    <row r="13" spans="1:10" x14ac:dyDescent="0.2">
      <c r="A13" s="4">
        <v>9</v>
      </c>
      <c r="B13" s="4" t="s">
        <v>3</v>
      </c>
      <c r="C13" s="4" t="s">
        <v>5</v>
      </c>
      <c r="D13" s="14">
        <v>32</v>
      </c>
      <c r="E13" s="4">
        <v>5.8730000000000002</v>
      </c>
      <c r="F13" s="4">
        <v>75.71875</v>
      </c>
      <c r="G13" s="53">
        <v>20</v>
      </c>
      <c r="H13" s="52">
        <v>24</v>
      </c>
      <c r="I13" s="47">
        <v>2966</v>
      </c>
      <c r="J13" s="47">
        <v>3159</v>
      </c>
    </row>
    <row r="14" spans="1:10" x14ac:dyDescent="0.2">
      <c r="A14" s="4">
        <v>9</v>
      </c>
      <c r="B14" s="4" t="s">
        <v>3</v>
      </c>
      <c r="C14" s="4" t="s">
        <v>5</v>
      </c>
      <c r="D14" s="14">
        <v>25</v>
      </c>
      <c r="E14" s="4">
        <v>5.9459999999999997</v>
      </c>
      <c r="F14" s="4">
        <v>97.16</v>
      </c>
      <c r="G14" s="53">
        <v>20</v>
      </c>
      <c r="H14" s="52">
        <v>18.5</v>
      </c>
      <c r="I14" s="47">
        <v>2423</v>
      </c>
      <c r="J14" s="47">
        <v>2469</v>
      </c>
    </row>
    <row r="15" spans="1:10" x14ac:dyDescent="0.2">
      <c r="A15" s="4">
        <v>9</v>
      </c>
      <c r="B15" s="4" t="s">
        <v>3</v>
      </c>
      <c r="C15" s="4" t="s">
        <v>5</v>
      </c>
      <c r="D15" s="14">
        <v>25</v>
      </c>
      <c r="E15" s="4">
        <v>8.4589999999999996</v>
      </c>
      <c r="F15" s="4">
        <v>89.6</v>
      </c>
      <c r="G15" s="53">
        <v>12</v>
      </c>
      <c r="H15" s="52">
        <v>10</v>
      </c>
      <c r="I15" s="47">
        <v>3099</v>
      </c>
      <c r="J15" s="47">
        <v>2581</v>
      </c>
    </row>
    <row r="16" spans="1:10" x14ac:dyDescent="0.2">
      <c r="A16" s="4">
        <v>9</v>
      </c>
      <c r="B16" s="4" t="s">
        <v>3</v>
      </c>
      <c r="C16" s="4" t="s">
        <v>4</v>
      </c>
      <c r="D16" s="14">
        <v>39</v>
      </c>
      <c r="E16" s="4">
        <v>4.3019999999999996</v>
      </c>
      <c r="F16" s="4">
        <v>66.5</v>
      </c>
      <c r="G16" s="53">
        <v>28</v>
      </c>
      <c r="H16" s="52">
        <v>23.5</v>
      </c>
      <c r="I16" s="47">
        <v>1760</v>
      </c>
      <c r="J16" s="47">
        <v>2160</v>
      </c>
    </row>
    <row r="17" spans="1:10" x14ac:dyDescent="0.2">
      <c r="A17" s="4">
        <v>9</v>
      </c>
      <c r="B17" s="4" t="s">
        <v>3</v>
      </c>
      <c r="C17" s="4" t="s">
        <v>5</v>
      </c>
      <c r="D17" s="14">
        <v>40</v>
      </c>
      <c r="E17" s="4">
        <v>4.7850000000000001</v>
      </c>
      <c r="F17" s="4">
        <v>63.4</v>
      </c>
      <c r="G17" s="53">
        <v>19</v>
      </c>
      <c r="H17" s="52">
        <v>25</v>
      </c>
      <c r="I17" s="47">
        <v>1880</v>
      </c>
      <c r="J17" s="47">
        <v>1747</v>
      </c>
    </row>
    <row r="18" spans="1:10" x14ac:dyDescent="0.2">
      <c r="A18" s="4">
        <v>9</v>
      </c>
      <c r="B18" s="4" t="s">
        <v>3</v>
      </c>
      <c r="C18" s="4" t="s">
        <v>5</v>
      </c>
      <c r="D18" s="14">
        <v>27</v>
      </c>
      <c r="E18" s="4">
        <v>7.1289999999999996</v>
      </c>
      <c r="F18" s="4">
        <v>91.6</v>
      </c>
      <c r="G18" s="53">
        <v>18</v>
      </c>
      <c r="H18" s="52">
        <v>17</v>
      </c>
      <c r="I18" s="47">
        <v>1947</v>
      </c>
      <c r="J18" s="47">
        <v>2129</v>
      </c>
    </row>
    <row r="19" spans="1:10" x14ac:dyDescent="0.2">
      <c r="A19" s="4">
        <v>9</v>
      </c>
      <c r="B19" s="4" t="s">
        <v>3</v>
      </c>
      <c r="C19" s="4" t="s">
        <v>5</v>
      </c>
      <c r="D19" s="14">
        <v>22</v>
      </c>
      <c r="E19" s="4">
        <v>7.2830000000000004</v>
      </c>
      <c r="F19" s="4">
        <v>111.6</v>
      </c>
      <c r="G19" s="53">
        <v>11.5</v>
      </c>
      <c r="H19" s="52">
        <v>13.5</v>
      </c>
      <c r="I19" s="47">
        <v>2215</v>
      </c>
      <c r="J19" s="47">
        <v>2414</v>
      </c>
    </row>
    <row r="20" spans="1:10" x14ac:dyDescent="0.2">
      <c r="A20" s="4">
        <v>9</v>
      </c>
      <c r="B20" s="4" t="s">
        <v>3</v>
      </c>
      <c r="C20" s="4" t="s">
        <v>4</v>
      </c>
      <c r="D20" s="14">
        <v>35</v>
      </c>
      <c r="E20" s="4">
        <v>6.0119999999999996</v>
      </c>
      <c r="F20" s="4">
        <v>71.900000000000006</v>
      </c>
      <c r="G20" s="53">
        <v>11</v>
      </c>
      <c r="H20" s="52">
        <v>18.5</v>
      </c>
      <c r="I20" s="47">
        <v>2170</v>
      </c>
      <c r="J20" s="47">
        <v>2448</v>
      </c>
    </row>
    <row r="21" spans="1:10" x14ac:dyDescent="0.2">
      <c r="A21" s="4">
        <v>9</v>
      </c>
      <c r="B21" s="4" t="s">
        <v>3</v>
      </c>
      <c r="C21" s="4" t="s">
        <v>5</v>
      </c>
      <c r="D21" s="14">
        <v>33</v>
      </c>
      <c r="E21" s="4">
        <v>5.8949999999999996</v>
      </c>
      <c r="F21" s="4">
        <v>74.151515151515156</v>
      </c>
      <c r="G21" s="53">
        <v>12.5</v>
      </c>
      <c r="H21" s="52">
        <v>17</v>
      </c>
      <c r="I21" s="47">
        <v>2727</v>
      </c>
      <c r="J21" s="47">
        <v>2622</v>
      </c>
    </row>
    <row r="22" spans="1:10" x14ac:dyDescent="0.2">
      <c r="A22" s="4">
        <v>9</v>
      </c>
      <c r="B22" s="4" t="s">
        <v>3</v>
      </c>
      <c r="C22" s="4" t="s">
        <v>5</v>
      </c>
      <c r="D22" s="14">
        <v>32</v>
      </c>
      <c r="E22" s="4">
        <v>7.1660000000000004</v>
      </c>
      <c r="F22" s="4">
        <v>76.03125</v>
      </c>
      <c r="G22" s="53">
        <v>12.5</v>
      </c>
      <c r="H22" s="52">
        <v>17</v>
      </c>
      <c r="I22" s="47">
        <v>2298</v>
      </c>
      <c r="J22" s="47">
        <v>2490</v>
      </c>
    </row>
    <row r="23" spans="1:10" x14ac:dyDescent="0.2">
      <c r="A23" s="4">
        <v>9</v>
      </c>
      <c r="B23" s="4" t="s">
        <v>3</v>
      </c>
      <c r="C23" s="4" t="s">
        <v>5</v>
      </c>
      <c r="D23" s="5">
        <v>19</v>
      </c>
      <c r="E23" s="15">
        <v>6.1066471877282691</v>
      </c>
      <c r="F23" s="16">
        <v>157.42105263157896</v>
      </c>
      <c r="G23" s="53">
        <v>13.5</v>
      </c>
      <c r="H23" s="52">
        <v>17</v>
      </c>
      <c r="I23" s="47">
        <v>2696</v>
      </c>
      <c r="J23" s="47">
        <v>2988</v>
      </c>
    </row>
    <row r="24" spans="1:10" x14ac:dyDescent="0.2">
      <c r="A24" s="4">
        <v>9</v>
      </c>
      <c r="B24" s="4" t="s">
        <v>3</v>
      </c>
      <c r="C24" s="4" t="s">
        <v>4</v>
      </c>
      <c r="D24" s="5">
        <v>34</v>
      </c>
      <c r="E24" s="15">
        <v>6.1066471877282691</v>
      </c>
      <c r="F24" s="16">
        <v>105.41176470588235</v>
      </c>
      <c r="G24" s="53">
        <v>29.5</v>
      </c>
      <c r="H24" s="52">
        <v>27.5</v>
      </c>
      <c r="I24" s="47">
        <v>3470</v>
      </c>
      <c r="J24" s="47">
        <v>3999</v>
      </c>
    </row>
    <row r="25" spans="1:10" x14ac:dyDescent="0.2">
      <c r="A25" s="4">
        <v>9</v>
      </c>
      <c r="B25" s="4" t="s">
        <v>3</v>
      </c>
      <c r="C25" s="4" t="s">
        <v>4</v>
      </c>
      <c r="D25" s="5">
        <v>35</v>
      </c>
      <c r="E25" s="15">
        <v>7.0197224251278305</v>
      </c>
      <c r="F25" s="16">
        <v>70.8</v>
      </c>
      <c r="G25" s="53">
        <v>34</v>
      </c>
      <c r="H25" s="52">
        <v>27.5</v>
      </c>
      <c r="I25" s="47">
        <v>4122</v>
      </c>
      <c r="J25" s="47">
        <v>3873</v>
      </c>
    </row>
    <row r="26" spans="1:10" x14ac:dyDescent="0.2">
      <c r="A26" s="4">
        <v>9</v>
      </c>
      <c r="B26" s="4" t="s">
        <v>3</v>
      </c>
      <c r="C26" s="4" t="s">
        <v>4</v>
      </c>
      <c r="D26" s="5">
        <v>29</v>
      </c>
      <c r="E26" s="15">
        <v>7.8159240321402486</v>
      </c>
      <c r="F26" s="15">
        <v>82.379310344827587</v>
      </c>
      <c r="G26" s="53">
        <v>24.5</v>
      </c>
      <c r="H26" s="52">
        <v>24</v>
      </c>
      <c r="I26" s="47">
        <v>3159</v>
      </c>
      <c r="J26" s="47">
        <v>3696</v>
      </c>
    </row>
    <row r="27" spans="1:10" x14ac:dyDescent="0.2">
      <c r="A27" s="4">
        <v>9</v>
      </c>
      <c r="B27" s="4" t="s">
        <v>3</v>
      </c>
      <c r="C27" s="4" t="s">
        <v>4</v>
      </c>
      <c r="D27" s="5">
        <v>44</v>
      </c>
      <c r="E27" s="15">
        <v>6.1212563915266616</v>
      </c>
      <c r="F27" s="15">
        <v>77.88636363636364</v>
      </c>
      <c r="G27" s="53">
        <v>21.5</v>
      </c>
      <c r="H27" s="52">
        <v>28.5</v>
      </c>
      <c r="I27" s="47">
        <v>3090</v>
      </c>
      <c r="J27" s="47">
        <v>3771</v>
      </c>
    </row>
    <row r="28" spans="1:10" x14ac:dyDescent="0.2">
      <c r="A28" s="4">
        <v>9</v>
      </c>
      <c r="B28" s="4" t="s">
        <v>3</v>
      </c>
      <c r="C28" s="4" t="s">
        <v>4</v>
      </c>
      <c r="D28" s="5">
        <v>23</v>
      </c>
      <c r="E28" s="15">
        <v>8.8531775018261509</v>
      </c>
      <c r="F28" s="15">
        <v>134.60869565217391</v>
      </c>
      <c r="G28" s="53">
        <v>22</v>
      </c>
      <c r="H28" s="52">
        <v>27.5</v>
      </c>
      <c r="I28" s="47">
        <v>2969</v>
      </c>
      <c r="J28" s="47">
        <v>3307</v>
      </c>
    </row>
    <row r="29" spans="1:10" ht="16" thickBot="1" x14ac:dyDescent="0.25">
      <c r="A29" s="9">
        <v>9</v>
      </c>
      <c r="B29" s="9" t="s">
        <v>3</v>
      </c>
      <c r="C29" s="9" t="s">
        <v>4</v>
      </c>
      <c r="D29" s="17">
        <v>27</v>
      </c>
      <c r="E29" s="9">
        <v>5.6539999999999999</v>
      </c>
      <c r="F29" s="18">
        <v>117.77777777777777</v>
      </c>
      <c r="G29" s="55">
        <v>12.5</v>
      </c>
      <c r="H29" s="54">
        <v>17</v>
      </c>
      <c r="I29" s="49">
        <v>2041</v>
      </c>
      <c r="J29" s="49">
        <v>2163</v>
      </c>
    </row>
    <row r="30" spans="1:10" x14ac:dyDescent="0.2">
      <c r="A30" s="12">
        <v>12</v>
      </c>
      <c r="B30" s="19" t="s">
        <v>3</v>
      </c>
      <c r="C30" s="12" t="s">
        <v>5</v>
      </c>
      <c r="D30" s="13">
        <v>22</v>
      </c>
      <c r="E30" s="12">
        <v>5.6539999999999999</v>
      </c>
      <c r="F30" s="19">
        <v>120.45454545454545</v>
      </c>
      <c r="G30" s="53">
        <v>14.5</v>
      </c>
      <c r="H30" s="57">
        <v>16.5</v>
      </c>
      <c r="I30" s="43">
        <v>4318</v>
      </c>
      <c r="J30" s="44">
        <v>4661</v>
      </c>
    </row>
    <row r="31" spans="1:10" x14ac:dyDescent="0.2">
      <c r="A31" s="4">
        <v>12</v>
      </c>
      <c r="B31" s="20" t="s">
        <v>3</v>
      </c>
      <c r="C31" s="4" t="s">
        <v>5</v>
      </c>
      <c r="D31" s="14">
        <v>24</v>
      </c>
      <c r="E31" s="4">
        <v>5.7050000000000001</v>
      </c>
      <c r="F31" s="20">
        <v>123.5</v>
      </c>
      <c r="G31" s="59">
        <v>19</v>
      </c>
      <c r="H31" s="52">
        <v>20</v>
      </c>
      <c r="I31" s="46">
        <v>4755</v>
      </c>
      <c r="J31" s="47">
        <v>5384</v>
      </c>
    </row>
    <row r="32" spans="1:10" x14ac:dyDescent="0.2">
      <c r="A32" s="4">
        <v>12</v>
      </c>
      <c r="B32" s="20" t="s">
        <v>3</v>
      </c>
      <c r="C32" s="4" t="s">
        <v>5</v>
      </c>
      <c r="D32" s="14">
        <v>32</v>
      </c>
      <c r="E32" s="4">
        <v>4.0609999999999999</v>
      </c>
      <c r="F32" s="20">
        <v>94.34375</v>
      </c>
      <c r="G32" s="53">
        <v>21</v>
      </c>
      <c r="H32" s="52">
        <v>22.5</v>
      </c>
      <c r="I32" s="46">
        <v>5037</v>
      </c>
      <c r="J32" s="47">
        <v>4736</v>
      </c>
    </row>
    <row r="33" spans="1:10" x14ac:dyDescent="0.2">
      <c r="A33" s="4">
        <v>12</v>
      </c>
      <c r="B33" s="20" t="s">
        <v>3</v>
      </c>
      <c r="C33" s="4" t="s">
        <v>4</v>
      </c>
      <c r="D33" s="14">
        <v>30</v>
      </c>
      <c r="E33" s="4">
        <v>6.5229999999999997</v>
      </c>
      <c r="F33" s="20">
        <v>91.766666666666666</v>
      </c>
      <c r="G33" s="53">
        <v>25</v>
      </c>
      <c r="H33" s="52">
        <v>18</v>
      </c>
      <c r="I33" s="46">
        <v>5016</v>
      </c>
      <c r="J33" s="47">
        <v>4946</v>
      </c>
    </row>
    <row r="34" spans="1:10" x14ac:dyDescent="0.2">
      <c r="A34" s="4">
        <v>12</v>
      </c>
      <c r="B34" s="20" t="s">
        <v>3</v>
      </c>
      <c r="C34" s="4" t="s">
        <v>4</v>
      </c>
      <c r="D34" s="14">
        <v>22</v>
      </c>
      <c r="E34" s="4">
        <v>2.8929999999999998</v>
      </c>
      <c r="F34" s="20">
        <v>144.40909090909091</v>
      </c>
      <c r="G34" s="53">
        <v>26</v>
      </c>
      <c r="H34" s="52">
        <v>29</v>
      </c>
      <c r="I34" s="46">
        <v>4568</v>
      </c>
      <c r="J34" s="47">
        <v>5726</v>
      </c>
    </row>
    <row r="35" spans="1:10" x14ac:dyDescent="0.2">
      <c r="A35" s="4">
        <v>12</v>
      </c>
      <c r="B35" s="20" t="s">
        <v>3</v>
      </c>
      <c r="C35" s="4" t="s">
        <v>5</v>
      </c>
      <c r="D35" s="14">
        <v>32</v>
      </c>
      <c r="E35" s="4">
        <v>7.2830000000000004</v>
      </c>
      <c r="F35" s="20">
        <v>91.46875</v>
      </c>
      <c r="G35" s="53">
        <v>10</v>
      </c>
      <c r="H35" s="52">
        <v>12</v>
      </c>
      <c r="I35" s="46">
        <v>4687</v>
      </c>
      <c r="J35" s="47">
        <v>5873</v>
      </c>
    </row>
    <row r="36" spans="1:10" x14ac:dyDescent="0.2">
      <c r="A36" s="4">
        <v>12</v>
      </c>
      <c r="B36" s="20" t="s">
        <v>3</v>
      </c>
      <c r="C36" s="4" t="s">
        <v>5</v>
      </c>
      <c r="D36" s="14">
        <v>28</v>
      </c>
      <c r="E36" s="4">
        <v>4.96</v>
      </c>
      <c r="F36" s="20">
        <v>100.92857142857143</v>
      </c>
      <c r="G36" s="59">
        <v>13.5</v>
      </c>
      <c r="H36" s="52">
        <v>17</v>
      </c>
      <c r="I36" s="46">
        <v>4725</v>
      </c>
      <c r="J36" s="47">
        <v>4274</v>
      </c>
    </row>
    <row r="37" spans="1:10" x14ac:dyDescent="0.2">
      <c r="A37" s="4">
        <v>12</v>
      </c>
      <c r="B37" s="20" t="s">
        <v>3</v>
      </c>
      <c r="C37" s="4" t="s">
        <v>4</v>
      </c>
      <c r="D37" s="14">
        <v>39</v>
      </c>
      <c r="E37" s="4">
        <v>4.96</v>
      </c>
      <c r="F37" s="20">
        <v>72.333333333333329</v>
      </c>
      <c r="G37" s="53">
        <v>16.5</v>
      </c>
      <c r="H37" s="52">
        <v>17</v>
      </c>
      <c r="I37" s="46">
        <v>4060</v>
      </c>
      <c r="J37" s="47">
        <v>4386</v>
      </c>
    </row>
    <row r="38" spans="1:10" x14ac:dyDescent="0.2">
      <c r="A38" s="4">
        <v>12</v>
      </c>
      <c r="B38" s="20" t="s">
        <v>3</v>
      </c>
      <c r="C38" s="4" t="s">
        <v>4</v>
      </c>
      <c r="D38" s="14">
        <v>35</v>
      </c>
      <c r="E38" s="4">
        <v>3.375</v>
      </c>
      <c r="F38" s="20">
        <v>86.571428571428569</v>
      </c>
      <c r="G38" s="53">
        <v>16.5</v>
      </c>
      <c r="H38" s="52">
        <v>21.5</v>
      </c>
      <c r="I38" s="46">
        <v>3868</v>
      </c>
      <c r="J38" s="47">
        <v>3906</v>
      </c>
    </row>
    <row r="39" spans="1:10" x14ac:dyDescent="0.2">
      <c r="A39" s="4">
        <v>12</v>
      </c>
      <c r="B39" s="4" t="s">
        <v>3</v>
      </c>
      <c r="C39" s="4" t="s">
        <v>4</v>
      </c>
      <c r="D39" s="14">
        <v>38</v>
      </c>
      <c r="E39" s="4">
        <v>3.0169999999999999</v>
      </c>
      <c r="F39" s="4">
        <v>75.89473684210526</v>
      </c>
      <c r="G39" s="53">
        <v>19.5</v>
      </c>
      <c r="H39" s="52">
        <v>23</v>
      </c>
      <c r="I39" s="46">
        <v>3906</v>
      </c>
      <c r="J39" s="47">
        <v>3966</v>
      </c>
    </row>
    <row r="40" spans="1:10" x14ac:dyDescent="0.2">
      <c r="A40" s="4">
        <v>12</v>
      </c>
      <c r="B40" s="4" t="s">
        <v>3</v>
      </c>
      <c r="C40" s="4" t="s">
        <v>4</v>
      </c>
      <c r="D40" s="14">
        <v>29</v>
      </c>
      <c r="E40" s="4">
        <v>7.2389999999999999</v>
      </c>
      <c r="F40" s="4">
        <v>97.137931034482762</v>
      </c>
      <c r="G40" s="53">
        <v>18</v>
      </c>
      <c r="H40" s="52">
        <v>15.5</v>
      </c>
      <c r="I40" s="46">
        <v>3661</v>
      </c>
      <c r="J40" s="47">
        <v>3735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701F-E0A4-4686-9AA5-35B0D6A69FCF}">
  <dimension ref="A1:J37"/>
  <sheetViews>
    <sheetView zoomScaleNormal="55" workbookViewId="0">
      <selection activeCell="H8" sqref="H8"/>
    </sheetView>
  </sheetViews>
  <sheetFormatPr baseColWidth="10" defaultColWidth="8.83203125" defaultRowHeight="15" x14ac:dyDescent="0.2"/>
  <cols>
    <col min="1" max="1" width="7.33203125" bestFit="1" customWidth="1"/>
    <col min="2" max="2" width="9.83203125" bestFit="1" customWidth="1"/>
    <col min="3" max="3" width="6.5" bestFit="1" customWidth="1"/>
    <col min="4" max="4" width="34.1640625" bestFit="1" customWidth="1"/>
    <col min="5" max="5" width="34.33203125" bestFit="1" customWidth="1"/>
    <col min="6" max="6" width="29.5" bestFit="1" customWidth="1"/>
    <col min="7" max="7" width="24.83203125" bestFit="1" customWidth="1"/>
    <col min="8" max="8" width="23.33203125" bestFit="1" customWidth="1"/>
    <col min="9" max="9" width="9.1640625" bestFit="1" customWidth="1"/>
    <col min="10" max="10" width="8.1640625" bestFit="1" customWidth="1"/>
  </cols>
  <sheetData>
    <row r="1" spans="1:10" ht="25" thickBot="1" x14ac:dyDescent="0.25">
      <c r="A1" s="1" t="s">
        <v>0</v>
      </c>
      <c r="B1" s="1" t="s">
        <v>1</v>
      </c>
      <c r="C1" s="2" t="s">
        <v>2</v>
      </c>
      <c r="D1" s="3" t="s">
        <v>13</v>
      </c>
      <c r="E1" s="1" t="s">
        <v>12</v>
      </c>
      <c r="F1" s="1" t="s">
        <v>11</v>
      </c>
      <c r="G1" s="51" t="s">
        <v>8</v>
      </c>
      <c r="H1" s="50" t="s">
        <v>7</v>
      </c>
      <c r="I1" s="51" t="s">
        <v>9</v>
      </c>
      <c r="J1" s="51" t="s">
        <v>10</v>
      </c>
    </row>
    <row r="2" spans="1:10" ht="16" x14ac:dyDescent="0.2">
      <c r="A2" s="21">
        <v>4</v>
      </c>
      <c r="B2" s="21" t="s">
        <v>6</v>
      </c>
      <c r="C2" s="21" t="s">
        <v>4</v>
      </c>
      <c r="D2" s="22">
        <v>26</v>
      </c>
      <c r="E2" s="23">
        <v>7.867</v>
      </c>
      <c r="F2" s="23">
        <v>167.2</v>
      </c>
      <c r="G2" s="42">
        <v>9.5</v>
      </c>
      <c r="H2" s="42">
        <v>10.5</v>
      </c>
      <c r="I2" s="43">
        <v>266</v>
      </c>
      <c r="J2" s="44">
        <v>294</v>
      </c>
    </row>
    <row r="3" spans="1:10" ht="16" x14ac:dyDescent="0.2">
      <c r="A3" s="24">
        <v>4</v>
      </c>
      <c r="B3" s="21" t="s">
        <v>6</v>
      </c>
      <c r="C3" s="24" t="s">
        <v>5</v>
      </c>
      <c r="D3" s="25">
        <v>24</v>
      </c>
      <c r="E3" s="26">
        <v>7.7279999999999998</v>
      </c>
      <c r="F3" s="26">
        <v>131.1</v>
      </c>
      <c r="G3" s="45">
        <v>10.5</v>
      </c>
      <c r="H3" s="45">
        <v>11</v>
      </c>
      <c r="I3" s="46">
        <v>294</v>
      </c>
      <c r="J3" s="47">
        <v>308</v>
      </c>
    </row>
    <row r="4" spans="1:10" ht="16" x14ac:dyDescent="0.2">
      <c r="A4" s="24">
        <v>4</v>
      </c>
      <c r="B4" s="21" t="s">
        <v>6</v>
      </c>
      <c r="C4" s="24" t="s">
        <v>4</v>
      </c>
      <c r="D4" s="25">
        <v>22</v>
      </c>
      <c r="E4" s="26">
        <v>9.7949999999999999</v>
      </c>
      <c r="F4" s="26">
        <v>150.82</v>
      </c>
      <c r="G4" s="45">
        <v>11.5</v>
      </c>
      <c r="H4" s="45">
        <v>12.5</v>
      </c>
      <c r="I4" s="46">
        <v>322</v>
      </c>
      <c r="J4" s="47">
        <v>350</v>
      </c>
    </row>
    <row r="5" spans="1:10" ht="16" x14ac:dyDescent="0.2">
      <c r="A5" s="24">
        <v>4</v>
      </c>
      <c r="B5" s="21" t="s">
        <v>6</v>
      </c>
      <c r="C5" s="24" t="s">
        <v>5</v>
      </c>
      <c r="D5" s="25">
        <v>21</v>
      </c>
      <c r="E5" s="26">
        <v>7.867</v>
      </c>
      <c r="F5" s="26">
        <v>145</v>
      </c>
      <c r="G5" s="45">
        <v>12.5</v>
      </c>
      <c r="H5" s="45">
        <v>14</v>
      </c>
      <c r="I5" s="46">
        <v>350</v>
      </c>
      <c r="J5" s="47">
        <v>392</v>
      </c>
    </row>
    <row r="6" spans="1:10" ht="16" x14ac:dyDescent="0.2">
      <c r="A6" s="24">
        <v>4</v>
      </c>
      <c r="B6" s="21" t="s">
        <v>6</v>
      </c>
      <c r="C6" s="24" t="s">
        <v>5</v>
      </c>
      <c r="D6" s="25">
        <v>18</v>
      </c>
      <c r="E6" s="26">
        <v>7.8090000000000002</v>
      </c>
      <c r="F6" s="26">
        <v>158.22200000000001</v>
      </c>
      <c r="G6" s="45">
        <v>13</v>
      </c>
      <c r="H6" s="45">
        <v>14</v>
      </c>
      <c r="I6" s="46">
        <v>364</v>
      </c>
      <c r="J6" s="47">
        <v>392</v>
      </c>
    </row>
    <row r="7" spans="1:10" ht="16" x14ac:dyDescent="0.2">
      <c r="A7" s="24">
        <v>4</v>
      </c>
      <c r="B7" s="21" t="s">
        <v>6</v>
      </c>
      <c r="C7" s="24" t="s">
        <v>5</v>
      </c>
      <c r="D7" s="25">
        <v>14</v>
      </c>
      <c r="E7" s="26">
        <v>7.7430000000000003</v>
      </c>
      <c r="F7" s="26">
        <v>202.2</v>
      </c>
      <c r="G7" s="45">
        <v>11.5</v>
      </c>
      <c r="H7" s="45">
        <v>10.5</v>
      </c>
      <c r="I7" s="46">
        <v>322</v>
      </c>
      <c r="J7" s="47">
        <v>294</v>
      </c>
    </row>
    <row r="8" spans="1:10" ht="18" x14ac:dyDescent="0.2">
      <c r="A8" s="24">
        <v>4</v>
      </c>
      <c r="B8" s="21" t="s">
        <v>6</v>
      </c>
      <c r="C8" s="27" t="s">
        <v>5</v>
      </c>
      <c r="D8" s="25">
        <v>27</v>
      </c>
      <c r="E8" s="26">
        <v>7.3630387143900657</v>
      </c>
      <c r="F8" s="26">
        <v>147.85185185185185</v>
      </c>
      <c r="G8" s="45">
        <v>9</v>
      </c>
      <c r="H8" s="45">
        <v>11</v>
      </c>
      <c r="I8" s="46">
        <v>378</v>
      </c>
      <c r="J8" s="47">
        <v>462</v>
      </c>
    </row>
    <row r="9" spans="1:10" ht="18" x14ac:dyDescent="0.2">
      <c r="A9" s="24">
        <v>4</v>
      </c>
      <c r="B9" s="21" t="s">
        <v>6</v>
      </c>
      <c r="C9" s="27" t="s">
        <v>5</v>
      </c>
      <c r="D9" s="25">
        <v>23</v>
      </c>
      <c r="E9" s="26">
        <v>7.9035792549306061</v>
      </c>
      <c r="F9" s="26">
        <v>159.30434782608697</v>
      </c>
      <c r="G9" s="45">
        <v>11</v>
      </c>
      <c r="H9" s="45">
        <v>10.5</v>
      </c>
      <c r="I9" s="46">
        <v>462</v>
      </c>
      <c r="J9" s="47">
        <v>441</v>
      </c>
    </row>
    <row r="10" spans="1:10" ht="18" x14ac:dyDescent="0.2">
      <c r="A10" s="24">
        <v>4</v>
      </c>
      <c r="B10" s="21" t="s">
        <v>6</v>
      </c>
      <c r="C10" s="27" t="s">
        <v>5</v>
      </c>
      <c r="D10" s="25">
        <v>21</v>
      </c>
      <c r="E10" s="26">
        <v>7.6333089846603359</v>
      </c>
      <c r="F10" s="26">
        <v>138.9047619047619</v>
      </c>
      <c r="G10" s="45">
        <v>11</v>
      </c>
      <c r="H10" s="45">
        <v>12.5</v>
      </c>
      <c r="I10" s="46">
        <v>462</v>
      </c>
      <c r="J10" s="47">
        <v>525</v>
      </c>
    </row>
    <row r="11" spans="1:10" ht="18" x14ac:dyDescent="0.2">
      <c r="A11" s="24">
        <v>4</v>
      </c>
      <c r="B11" s="21" t="s">
        <v>6</v>
      </c>
      <c r="C11" s="27" t="s">
        <v>4</v>
      </c>
      <c r="D11" s="25">
        <v>20</v>
      </c>
      <c r="E11" s="26">
        <v>8.1081081081081088</v>
      </c>
      <c r="F11" s="26">
        <v>150.9</v>
      </c>
      <c r="G11" s="45">
        <v>11</v>
      </c>
      <c r="H11" s="45">
        <v>10.5</v>
      </c>
      <c r="I11" s="46">
        <v>462</v>
      </c>
      <c r="J11" s="47">
        <v>441</v>
      </c>
    </row>
    <row r="12" spans="1:10" ht="18" x14ac:dyDescent="0.2">
      <c r="A12" s="24">
        <v>4</v>
      </c>
      <c r="B12" s="21" t="s">
        <v>6</v>
      </c>
      <c r="C12" s="27" t="s">
        <v>4</v>
      </c>
      <c r="D12" s="25">
        <v>18</v>
      </c>
      <c r="E12" s="26">
        <v>7.2169466764061356</v>
      </c>
      <c r="F12" s="26">
        <v>151.83333333333334</v>
      </c>
      <c r="G12" s="45">
        <v>10.5</v>
      </c>
      <c r="H12" s="45">
        <v>10.5</v>
      </c>
      <c r="I12" s="44">
        <v>441</v>
      </c>
      <c r="J12" s="44">
        <v>441</v>
      </c>
    </row>
    <row r="13" spans="1:10" ht="19" thickBot="1" x14ac:dyDescent="0.25">
      <c r="A13" s="28">
        <v>4</v>
      </c>
      <c r="B13" s="28" t="s">
        <v>6</v>
      </c>
      <c r="C13" s="29" t="s">
        <v>4</v>
      </c>
      <c r="D13" s="30">
        <v>25</v>
      </c>
      <c r="E13" s="31">
        <v>7.1070000000000002</v>
      </c>
      <c r="F13" s="31">
        <f>3271/D13</f>
        <v>130.84</v>
      </c>
      <c r="G13" s="48">
        <v>12</v>
      </c>
      <c r="H13" s="48">
        <v>12</v>
      </c>
      <c r="I13" s="49">
        <v>504</v>
      </c>
      <c r="J13" s="49">
        <v>504</v>
      </c>
    </row>
    <row r="14" spans="1:10" ht="16" x14ac:dyDescent="0.2">
      <c r="A14" s="21">
        <v>9</v>
      </c>
      <c r="B14" s="21" t="s">
        <v>6</v>
      </c>
      <c r="C14" s="21" t="s">
        <v>5</v>
      </c>
      <c r="D14" s="22">
        <v>22</v>
      </c>
      <c r="E14" s="21">
        <v>7.476</v>
      </c>
      <c r="F14" s="32">
        <v>120.22727272727273</v>
      </c>
      <c r="G14" s="42">
        <v>13</v>
      </c>
      <c r="H14" s="42">
        <v>10.5</v>
      </c>
      <c r="I14" s="44">
        <v>2484</v>
      </c>
      <c r="J14" s="44">
        <v>2268</v>
      </c>
    </row>
    <row r="15" spans="1:10" ht="16" x14ac:dyDescent="0.2">
      <c r="A15" s="24">
        <v>9</v>
      </c>
      <c r="B15" s="21" t="s">
        <v>6</v>
      </c>
      <c r="C15" s="24" t="s">
        <v>4</v>
      </c>
      <c r="D15" s="25">
        <v>21</v>
      </c>
      <c r="E15" s="24">
        <v>7.1440000000000001</v>
      </c>
      <c r="F15" s="33">
        <v>116.76190476190476</v>
      </c>
      <c r="G15" s="45">
        <v>13.5</v>
      </c>
      <c r="H15" s="45">
        <v>13</v>
      </c>
      <c r="I15" s="47">
        <v>2480</v>
      </c>
      <c r="J15" s="47">
        <v>2371</v>
      </c>
    </row>
    <row r="16" spans="1:10" ht="16" x14ac:dyDescent="0.2">
      <c r="A16" s="24">
        <v>9</v>
      </c>
      <c r="B16" s="21" t="s">
        <v>6</v>
      </c>
      <c r="C16" s="24" t="s">
        <v>5</v>
      </c>
      <c r="D16" s="25">
        <v>24</v>
      </c>
      <c r="E16" s="24">
        <v>7.085</v>
      </c>
      <c r="F16" s="33">
        <v>109.83333333333333</v>
      </c>
      <c r="G16" s="45">
        <v>10</v>
      </c>
      <c r="H16" s="45">
        <v>10.5</v>
      </c>
      <c r="I16" s="47">
        <v>2826</v>
      </c>
      <c r="J16" s="47">
        <v>2565</v>
      </c>
    </row>
    <row r="17" spans="1:10" ht="16" x14ac:dyDescent="0.2">
      <c r="A17" s="24">
        <v>9</v>
      </c>
      <c r="B17" s="21" t="s">
        <v>6</v>
      </c>
      <c r="C17" s="24" t="s">
        <v>5</v>
      </c>
      <c r="D17" s="25">
        <v>19</v>
      </c>
      <c r="E17" s="24">
        <v>7.5970000000000004</v>
      </c>
      <c r="F17" s="33">
        <v>141.94736842105263</v>
      </c>
      <c r="G17" s="45">
        <v>10.5</v>
      </c>
      <c r="H17" s="45">
        <v>9.5</v>
      </c>
      <c r="I17" s="47">
        <v>2905</v>
      </c>
      <c r="J17" s="47">
        <v>2870</v>
      </c>
    </row>
    <row r="18" spans="1:10" ht="16" x14ac:dyDescent="0.2">
      <c r="A18" s="24">
        <v>9</v>
      </c>
      <c r="B18" s="21" t="s">
        <v>6</v>
      </c>
      <c r="C18" s="24" t="s">
        <v>4</v>
      </c>
      <c r="D18" s="25">
        <v>25</v>
      </c>
      <c r="E18" s="24">
        <v>7.6109999999999998</v>
      </c>
      <c r="F18" s="33">
        <v>124.56</v>
      </c>
      <c r="G18" s="45">
        <v>13.5</v>
      </c>
      <c r="H18" s="45">
        <v>13</v>
      </c>
      <c r="I18" s="47">
        <v>2736</v>
      </c>
      <c r="J18" s="47">
        <v>2924</v>
      </c>
    </row>
    <row r="19" spans="1:10" ht="16" x14ac:dyDescent="0.2">
      <c r="A19" s="24">
        <v>9</v>
      </c>
      <c r="B19" s="21" t="s">
        <v>6</v>
      </c>
      <c r="C19" s="24" t="s">
        <v>5</v>
      </c>
      <c r="D19" s="25">
        <v>22</v>
      </c>
      <c r="E19" s="24">
        <v>8.1957633308984654</v>
      </c>
      <c r="F19" s="33">
        <v>130.04545454545453</v>
      </c>
      <c r="G19" s="45">
        <v>13</v>
      </c>
      <c r="H19" s="45">
        <v>12</v>
      </c>
      <c r="I19" s="47">
        <v>2928</v>
      </c>
      <c r="J19" s="47">
        <v>3055</v>
      </c>
    </row>
    <row r="20" spans="1:10" ht="16" x14ac:dyDescent="0.2">
      <c r="A20" s="24">
        <v>9</v>
      </c>
      <c r="B20" s="21" t="s">
        <v>6</v>
      </c>
      <c r="C20" s="24" t="s">
        <v>5</v>
      </c>
      <c r="D20" s="25">
        <v>21</v>
      </c>
      <c r="E20" s="34">
        <v>12.461650840029218</v>
      </c>
      <c r="F20" s="33">
        <v>193.57142857142858</v>
      </c>
      <c r="G20" s="45">
        <v>13</v>
      </c>
      <c r="H20" s="45">
        <v>14</v>
      </c>
      <c r="I20" s="47">
        <v>2782</v>
      </c>
      <c r="J20" s="47">
        <v>2909</v>
      </c>
    </row>
    <row r="21" spans="1:10" ht="16" x14ac:dyDescent="0.2">
      <c r="A21" s="24">
        <v>9</v>
      </c>
      <c r="B21" s="21" t="s">
        <v>6</v>
      </c>
      <c r="C21" s="24" t="s">
        <v>4</v>
      </c>
      <c r="D21" s="25">
        <v>26</v>
      </c>
      <c r="E21" s="34">
        <v>10.861943024105186</v>
      </c>
      <c r="F21" s="33">
        <v>151.30769230769232</v>
      </c>
      <c r="G21" s="45">
        <v>14</v>
      </c>
      <c r="H21" s="45">
        <v>15.5</v>
      </c>
      <c r="I21" s="47">
        <v>2874</v>
      </c>
      <c r="J21" s="47">
        <v>3083</v>
      </c>
    </row>
    <row r="22" spans="1:10" ht="16" x14ac:dyDescent="0.2">
      <c r="A22" s="24">
        <v>9</v>
      </c>
      <c r="B22" s="21" t="s">
        <v>6</v>
      </c>
      <c r="C22" s="24" t="s">
        <v>4</v>
      </c>
      <c r="D22" s="25">
        <v>27</v>
      </c>
      <c r="E22" s="35">
        <v>8.7509130752373991</v>
      </c>
      <c r="F22" s="33">
        <v>129.74074074074073</v>
      </c>
      <c r="G22" s="45">
        <v>13.5</v>
      </c>
      <c r="H22" s="45">
        <v>14</v>
      </c>
      <c r="I22" s="47">
        <v>2996</v>
      </c>
      <c r="J22" s="47">
        <v>2990</v>
      </c>
    </row>
    <row r="23" spans="1:10" ht="16" x14ac:dyDescent="0.2">
      <c r="A23" s="24">
        <v>9</v>
      </c>
      <c r="B23" s="21" t="s">
        <v>6</v>
      </c>
      <c r="C23" s="24" t="s">
        <v>4</v>
      </c>
      <c r="D23" s="25">
        <v>34</v>
      </c>
      <c r="E23" s="35">
        <v>8.2176771365960555</v>
      </c>
      <c r="F23" s="33">
        <v>121.32352941176471</v>
      </c>
      <c r="G23" s="45">
        <v>13</v>
      </c>
      <c r="H23" s="45">
        <v>14</v>
      </c>
      <c r="I23" s="47">
        <v>2580</v>
      </c>
      <c r="J23" s="47">
        <v>2867</v>
      </c>
    </row>
    <row r="24" spans="1:10" ht="17" thickBot="1" x14ac:dyDescent="0.25">
      <c r="A24" s="28">
        <v>9</v>
      </c>
      <c r="B24" s="28" t="s">
        <v>6</v>
      </c>
      <c r="C24" s="28" t="s">
        <v>4</v>
      </c>
      <c r="D24" s="36">
        <v>26</v>
      </c>
      <c r="E24" s="37">
        <v>8.3199415631848073</v>
      </c>
      <c r="F24" s="38">
        <v>133.73076923076923</v>
      </c>
      <c r="G24" s="48">
        <v>14</v>
      </c>
      <c r="H24" s="48">
        <v>14.5</v>
      </c>
      <c r="I24" s="49">
        <v>2933</v>
      </c>
      <c r="J24" s="49">
        <v>3071</v>
      </c>
    </row>
    <row r="25" spans="1:10" ht="16" x14ac:dyDescent="0.2">
      <c r="A25" s="21">
        <v>12</v>
      </c>
      <c r="B25" s="21" t="s">
        <v>6</v>
      </c>
      <c r="C25" s="21" t="s">
        <v>5</v>
      </c>
      <c r="D25" s="22">
        <v>22</v>
      </c>
      <c r="E25" s="39">
        <v>9.4448502556610663</v>
      </c>
      <c r="F25" s="39">
        <v>155.45454545454547</v>
      </c>
      <c r="G25" s="42">
        <v>11</v>
      </c>
      <c r="H25" s="42">
        <v>11</v>
      </c>
      <c r="I25" s="44">
        <v>3588</v>
      </c>
      <c r="J25" s="44">
        <v>3647</v>
      </c>
    </row>
    <row r="26" spans="1:10" ht="16" x14ac:dyDescent="0.2">
      <c r="A26" s="24">
        <v>12</v>
      </c>
      <c r="B26" s="21" t="s">
        <v>6</v>
      </c>
      <c r="C26" s="24" t="s">
        <v>4</v>
      </c>
      <c r="D26" s="25">
        <v>25</v>
      </c>
      <c r="E26" s="40">
        <v>9.4813732651570497</v>
      </c>
      <c r="F26" s="40">
        <v>133.63999999999999</v>
      </c>
      <c r="G26" s="45">
        <v>11</v>
      </c>
      <c r="H26" s="45">
        <v>10.5</v>
      </c>
      <c r="I26" s="47">
        <v>3675</v>
      </c>
      <c r="J26" s="47">
        <v>3780</v>
      </c>
    </row>
    <row r="27" spans="1:10" ht="18" x14ac:dyDescent="0.2">
      <c r="A27" s="24">
        <v>12</v>
      </c>
      <c r="B27" s="21" t="s">
        <v>6</v>
      </c>
      <c r="C27" s="27" t="s">
        <v>4</v>
      </c>
      <c r="D27" s="25">
        <v>24</v>
      </c>
      <c r="E27" s="33">
        <v>7.3630387143900657</v>
      </c>
      <c r="F27" s="33">
        <v>135.125</v>
      </c>
      <c r="G27" s="45">
        <v>13</v>
      </c>
      <c r="H27" s="45">
        <v>13</v>
      </c>
      <c r="I27" s="47">
        <v>3675</v>
      </c>
      <c r="J27" s="47">
        <v>4165</v>
      </c>
    </row>
    <row r="28" spans="1:10" ht="18" x14ac:dyDescent="0.2">
      <c r="A28" s="24">
        <v>12</v>
      </c>
      <c r="B28" s="21" t="s">
        <v>6</v>
      </c>
      <c r="C28" s="27" t="s">
        <v>4</v>
      </c>
      <c r="D28" s="25">
        <v>20</v>
      </c>
      <c r="E28" s="33">
        <v>9.050401753104456</v>
      </c>
      <c r="F28" s="33">
        <v>178.55</v>
      </c>
      <c r="G28" s="45">
        <v>11.5</v>
      </c>
      <c r="H28" s="45">
        <v>12.5</v>
      </c>
      <c r="I28" s="47">
        <v>752</v>
      </c>
      <c r="J28" s="47">
        <v>779</v>
      </c>
    </row>
    <row r="29" spans="1:10" ht="18" x14ac:dyDescent="0.2">
      <c r="A29" s="24">
        <v>12</v>
      </c>
      <c r="B29" s="21" t="s">
        <v>6</v>
      </c>
      <c r="C29" s="27" t="s">
        <v>4</v>
      </c>
      <c r="D29" s="25">
        <v>22</v>
      </c>
      <c r="E29" s="33">
        <v>9.7443389335281232</v>
      </c>
      <c r="F29" s="33">
        <v>170.13636363636363</v>
      </c>
      <c r="G29" s="45">
        <v>11.5</v>
      </c>
      <c r="H29" s="45">
        <v>11.5</v>
      </c>
      <c r="I29" s="47">
        <v>851</v>
      </c>
      <c r="J29" s="47">
        <v>798</v>
      </c>
    </row>
    <row r="30" spans="1:10" ht="18" x14ac:dyDescent="0.2">
      <c r="A30" s="24">
        <v>12</v>
      </c>
      <c r="B30" s="21" t="s">
        <v>6</v>
      </c>
      <c r="C30" s="27" t="s">
        <v>5</v>
      </c>
      <c r="D30" s="41">
        <v>29</v>
      </c>
      <c r="E30" s="33">
        <v>6.5668371073776477</v>
      </c>
      <c r="F30" s="33">
        <v>106.72413793103448</v>
      </c>
      <c r="G30" s="45">
        <v>13</v>
      </c>
      <c r="H30" s="45">
        <v>15.5</v>
      </c>
      <c r="I30" s="46">
        <v>3650</v>
      </c>
      <c r="J30" s="47">
        <v>3840</v>
      </c>
    </row>
    <row r="31" spans="1:10" ht="18" x14ac:dyDescent="0.2">
      <c r="A31" s="24">
        <v>12</v>
      </c>
      <c r="B31" s="21" t="s">
        <v>6</v>
      </c>
      <c r="C31" s="27" t="s">
        <v>5</v>
      </c>
      <c r="D31" s="41">
        <v>32</v>
      </c>
      <c r="E31" s="33">
        <v>8.8458728999269542</v>
      </c>
      <c r="F31" s="33">
        <v>92.3125</v>
      </c>
      <c r="G31" s="45">
        <v>12.5</v>
      </c>
      <c r="H31" s="45">
        <v>15</v>
      </c>
      <c r="I31" s="46">
        <v>3588</v>
      </c>
      <c r="J31" s="47">
        <v>3810</v>
      </c>
    </row>
    <row r="32" spans="1:10" ht="18" x14ac:dyDescent="0.2">
      <c r="A32" s="24">
        <v>12</v>
      </c>
      <c r="B32" s="21" t="s">
        <v>6</v>
      </c>
      <c r="C32" s="27" t="s">
        <v>5</v>
      </c>
      <c r="D32" s="41">
        <v>31</v>
      </c>
      <c r="E32" s="33">
        <v>7.6040905770635501</v>
      </c>
      <c r="F32" s="33">
        <v>127.35483870967742</v>
      </c>
      <c r="G32" s="45">
        <v>12</v>
      </c>
      <c r="H32" s="45">
        <v>13.5</v>
      </c>
      <c r="I32" s="46">
        <v>3636</v>
      </c>
      <c r="J32" s="47">
        <v>4000</v>
      </c>
    </row>
    <row r="33" spans="1:10" ht="18" x14ac:dyDescent="0.2">
      <c r="A33" s="24">
        <v>12</v>
      </c>
      <c r="B33" s="21" t="s">
        <v>6</v>
      </c>
      <c r="C33" s="27" t="s">
        <v>5</v>
      </c>
      <c r="D33" s="41">
        <v>25</v>
      </c>
      <c r="E33" s="33">
        <v>7.0416362308254197</v>
      </c>
      <c r="F33" s="33">
        <v>136.76</v>
      </c>
      <c r="G33" s="45">
        <v>13</v>
      </c>
      <c r="H33" s="45">
        <v>12</v>
      </c>
      <c r="I33" s="46">
        <v>3703</v>
      </c>
      <c r="J33" s="47">
        <v>3339</v>
      </c>
    </row>
    <row r="34" spans="1:10" ht="18" x14ac:dyDescent="0.2">
      <c r="A34" s="24">
        <v>12</v>
      </c>
      <c r="B34" s="21" t="s">
        <v>6</v>
      </c>
      <c r="C34" s="27" t="s">
        <v>4</v>
      </c>
      <c r="D34" s="41">
        <v>22</v>
      </c>
      <c r="E34" s="33">
        <v>7.6550000000000002</v>
      </c>
      <c r="F34" s="33">
        <f>3612/D34</f>
        <v>164.18181818181819</v>
      </c>
      <c r="G34" s="45">
        <v>14.5</v>
      </c>
      <c r="H34" s="45">
        <v>14</v>
      </c>
      <c r="I34" s="46">
        <v>4070</v>
      </c>
      <c r="J34" s="47">
        <v>4087</v>
      </c>
    </row>
    <row r="35" spans="1:10" ht="18" x14ac:dyDescent="0.2">
      <c r="A35" s="24">
        <v>12</v>
      </c>
      <c r="B35" s="21" t="s">
        <v>6</v>
      </c>
      <c r="C35" s="27" t="s">
        <v>4</v>
      </c>
      <c r="D35" s="41">
        <v>24</v>
      </c>
      <c r="E35" s="33">
        <v>7.6</v>
      </c>
      <c r="F35" s="33">
        <v>123.91666666666667</v>
      </c>
      <c r="G35" s="45">
        <v>16</v>
      </c>
      <c r="H35" s="45">
        <v>16.5</v>
      </c>
      <c r="I35" s="46">
        <v>4071</v>
      </c>
      <c r="J35" s="47">
        <v>4045</v>
      </c>
    </row>
    <row r="36" spans="1:10" ht="18" x14ac:dyDescent="0.2">
      <c r="A36" s="24">
        <v>12</v>
      </c>
      <c r="B36" s="21" t="s">
        <v>6</v>
      </c>
      <c r="C36" s="27" t="s">
        <v>4</v>
      </c>
      <c r="D36" s="41">
        <v>33</v>
      </c>
      <c r="E36" s="33">
        <v>7.3339999999999996</v>
      </c>
      <c r="F36" s="33">
        <f>3244/D36</f>
        <v>98.303030303030297</v>
      </c>
      <c r="G36" s="45">
        <v>10</v>
      </c>
      <c r="H36" s="45">
        <v>8</v>
      </c>
      <c r="I36" s="46">
        <v>3812</v>
      </c>
      <c r="J36" s="47">
        <v>3457</v>
      </c>
    </row>
    <row r="37" spans="1:10" ht="18" x14ac:dyDescent="0.2">
      <c r="A37" s="24">
        <v>12</v>
      </c>
      <c r="B37" s="21" t="s">
        <v>6</v>
      </c>
      <c r="C37" s="27" t="s">
        <v>4</v>
      </c>
      <c r="D37" s="41">
        <v>28</v>
      </c>
      <c r="E37" s="33">
        <v>5.7633308984660339</v>
      </c>
      <c r="F37" s="33">
        <v>117.92857142857143</v>
      </c>
      <c r="G37" s="45">
        <v>14.5</v>
      </c>
      <c r="H37" s="45">
        <v>15.5</v>
      </c>
      <c r="I37" s="46">
        <v>3953</v>
      </c>
      <c r="J37" s="47">
        <v>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D2</vt:lpstr>
      <vt:lpstr>D2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Daily</dc:creator>
  <cp:lastModifiedBy>Microsoft Office User</cp:lastModifiedBy>
  <dcterms:created xsi:type="dcterms:W3CDTF">2023-06-23T20:53:20Z</dcterms:created>
  <dcterms:modified xsi:type="dcterms:W3CDTF">2023-07-02T17:35:05Z</dcterms:modified>
</cp:coreProperties>
</file>